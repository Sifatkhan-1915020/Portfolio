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EA1A8C7-6DF0-4CCD-886A-5CB23564F7BB}" xr6:coauthVersionLast="47" xr6:coauthVersionMax="47" xr10:uidLastSave="{00000000-0000-0000-0000-000000000000}"/>
  <bookViews>
    <workbookView xWindow="-108" yWindow="-108" windowWidth="23256" windowHeight="12456" activeTab="2" xr2:uid="{3658E88F-8230-4CA5-A89F-678B16B8DB62}"/>
    <workbookView xWindow="-108" yWindow="-108" windowWidth="23256" windowHeight="12456" activeTab="2" xr2:uid="{2AE81055-99C6-4A09-9993-5A19A2EF0A48}"/>
  </bookViews>
  <sheets>
    <sheet name="Sheet1" sheetId="1" r:id="rId1"/>
    <sheet name="calculation sheet" sheetId="3" r:id="rId2"/>
    <sheet name="Dashboard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2" i="3"/>
  <c r="K1" i="3"/>
  <c r="B8" i="5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C23" i="3"/>
  <c r="C24" i="3"/>
  <c r="C25" i="3"/>
  <c r="C26" i="3"/>
  <c r="C31" i="3"/>
  <c r="C27" i="3"/>
  <c r="C28" i="3"/>
  <c r="C29" i="3"/>
  <c r="C30" i="3"/>
  <c r="E30" i="3"/>
  <c r="E25" i="3"/>
  <c r="D25" i="3"/>
  <c r="E29" i="3"/>
  <c r="D24" i="3"/>
  <c r="E24" i="3"/>
  <c r="D23" i="3"/>
  <c r="E28" i="3"/>
  <c r="E31" i="3"/>
  <c r="D26" i="3"/>
  <c r="D30" i="3"/>
  <c r="D29" i="3"/>
  <c r="D28" i="3"/>
  <c r="E23" i="3"/>
  <c r="E27" i="3"/>
  <c r="D31" i="3"/>
  <c r="E26" i="3"/>
  <c r="D27" i="3"/>
  <c r="F27" i="3" l="1"/>
  <c r="F31" i="3"/>
  <c r="F28" i="3"/>
  <c r="F29" i="3"/>
  <c r="F30" i="3"/>
  <c r="F26" i="3"/>
  <c r="F23" i="3"/>
  <c r="F24" i="3"/>
  <c r="F25" i="3"/>
</calcChain>
</file>

<file path=xl/sharedStrings.xml><?xml version="1.0" encoding="utf-8"?>
<sst xmlns="http://schemas.openxmlformats.org/spreadsheetml/2006/main" count="11" uniqueCount="9">
  <si>
    <t>Date</t>
  </si>
  <si>
    <t>Sales Units (Historical)</t>
  </si>
  <si>
    <t>Forecast(Sales Units (Historical))</t>
  </si>
  <si>
    <t>Lower Confidence Bound(Sales Units (Historical))</t>
  </si>
  <si>
    <t>Upper Confidence Bound(Sales Units (Historical))</t>
  </si>
  <si>
    <t>Raw Material per Unit</t>
  </si>
  <si>
    <t>Employee Productivity (Units/Month)</t>
  </si>
  <si>
    <t>Raw Material Needed (kg)</t>
  </si>
  <si>
    <t>Staff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</si>
</sst>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14" fontId="0" fillId="0" borderId="0" xfId="0" applyNumberFormat="1"/>
    <xf numFmtId="1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Procurement Risk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'calculation sheet'!$D$1</c:f>
              <c:strCache>
                <c:ptCount val="1"/>
                <c:pt idx="0">
                  <c:v>Lower Confidence Bound(Sales Units (Historical))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'calculation sheet'!$A$2:$A$31</c:f>
              <c:numCache>
                <c:formatCode>m/d/yyyy</c:formatCode>
                <c:ptCount val="3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</c:numCache>
            </c:numRef>
          </c:cat>
          <c:val>
            <c:numRef>
              <c:f>'calculation sheet'!$D$2:$D$31</c:f>
              <c:numCache>
                <c:formatCode>General</c:formatCode>
                <c:ptCount val="30"/>
                <c:pt idx="20" formatCode="0.00">
                  <c:v>797.5</c:v>
                </c:pt>
                <c:pt idx="21" formatCode="0.00">
                  <c:v>559.03421068801299</c:v>
                </c:pt>
                <c:pt idx="22" formatCode="0.00">
                  <c:v>561.19625114653286</c:v>
                </c:pt>
                <c:pt idx="23" formatCode="0.00">
                  <c:v>563.55338358385927</c:v>
                </c:pt>
                <c:pt idx="24" formatCode="0.00">
                  <c:v>566.08906054695399</c:v>
                </c:pt>
                <c:pt idx="25" formatCode="0.00">
                  <c:v>568.78880340144474</c:v>
                </c:pt>
                <c:pt idx="26" formatCode="0.00">
                  <c:v>571.63986008203506</c:v>
                </c:pt>
                <c:pt idx="27" formatCode="0.00">
                  <c:v>574.63093219293864</c:v>
                </c:pt>
                <c:pt idx="28" formatCode="0.00">
                  <c:v>577.75195503849659</c:v>
                </c:pt>
                <c:pt idx="29" formatCode="0.00">
                  <c:v>580.99391856727163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5-4ED5-AF6D-793F6FE1B089}"/>
            </c:ext>
          </c:extLst>
        </c:ser>
        <c:ser>
          <c:idx val="1"/>
          <c:order val="1"/>
          <c:tx>
            <c:strRef>
              <c:f>'calculation sheet'!$E$1</c:f>
              <c:strCache>
                <c:ptCount val="1"/>
                <c:pt idx="0">
                  <c:v>Upper Confidence Bound(Sales Units (Historical))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'calculation sheet'!$A$2:$A$31</c:f>
              <c:numCache>
                <c:formatCode>m/d/yyyy</c:formatCode>
                <c:ptCount val="3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</c:numCache>
            </c:numRef>
          </c:cat>
          <c:val>
            <c:numRef>
              <c:f>'calculation sheet'!$E$2:$E$31</c:f>
              <c:numCache>
                <c:formatCode>General</c:formatCode>
                <c:ptCount val="30"/>
                <c:pt idx="20" formatCode="0.00">
                  <c:v>797.5</c:v>
                </c:pt>
                <c:pt idx="21" formatCode="0.00">
                  <c:v>1141.9216609403657</c:v>
                </c:pt>
                <c:pt idx="22" formatCode="0.00">
                  <c:v>1162.1645194753651</c:v>
                </c:pt>
                <c:pt idx="23" formatCode="0.00">
                  <c:v>1182.2122860315581</c:v>
                </c:pt>
                <c:pt idx="24" formatCode="0.00">
                  <c:v>1202.0815080619825</c:v>
                </c:pt>
                <c:pt idx="25" formatCode="0.00">
                  <c:v>1221.7866642010108</c:v>
                </c:pt>
                <c:pt idx="26" formatCode="0.00">
                  <c:v>1241.3405065139398</c:v>
                </c:pt>
                <c:pt idx="27" formatCode="0.00">
                  <c:v>1260.7543333965555</c:v>
                </c:pt>
                <c:pt idx="28" formatCode="0.00">
                  <c:v>1280.0382095445168</c:v>
                </c:pt>
                <c:pt idx="29" formatCode="0.00">
                  <c:v>1299.2011450092609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E5-4ED5-AF6D-793F6FE1B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17056"/>
        <c:axId val="87518496"/>
      </c:lineChart>
      <c:dateAx>
        <c:axId val="87517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18496"/>
        <c:crosses val="autoZero"/>
        <c:auto val="1"/>
        <c:lblOffset val="100"/>
        <c:baseTimeUnit val="months"/>
      </c:dateAx>
      <c:valAx>
        <c:axId val="8751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1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Demand vs. Capacity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'calculation sheet'!$C$1</c:f>
              <c:strCache>
                <c:ptCount val="1"/>
                <c:pt idx="0">
                  <c:v>Forecast(Sales Units (Historical))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'calculation sheet'!$A$2:$A$31</c:f>
              <c:numCache>
                <c:formatCode>m/d/yyyy</c:formatCode>
                <c:ptCount val="3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</c:numCache>
            </c:numRef>
          </c:cat>
          <c:val>
            <c:numRef>
              <c:f>'calculation sheet'!$C$2:$C$31</c:f>
              <c:numCache>
                <c:formatCode>General</c:formatCode>
                <c:ptCount val="30"/>
                <c:pt idx="20">
                  <c:v>797.5</c:v>
                </c:pt>
                <c:pt idx="21">
                  <c:v>850.47793581418932</c:v>
                </c:pt>
                <c:pt idx="22">
                  <c:v>861.68038531094896</c:v>
                </c:pt>
                <c:pt idx="23">
                  <c:v>872.8828348077086</c:v>
                </c:pt>
                <c:pt idx="24">
                  <c:v>884.08528430446825</c:v>
                </c:pt>
                <c:pt idx="25">
                  <c:v>895.28773380122777</c:v>
                </c:pt>
                <c:pt idx="26">
                  <c:v>906.49018329798741</c:v>
                </c:pt>
                <c:pt idx="27">
                  <c:v>917.69263279474706</c:v>
                </c:pt>
                <c:pt idx="28">
                  <c:v>928.8950822915067</c:v>
                </c:pt>
                <c:pt idx="29">
                  <c:v>940.09753178826634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7-4AA9-AEFC-1E783201B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604384"/>
        <c:axId val="57602640"/>
      </c:barChart>
      <c:lineChart>
        <c:grouping val="standard"/>
        <c:varyColors val="0"/>
        <c:ser>
          <c:idx val="1"/>
          <c:order val="1"/>
          <c:tx>
            <c:strRef>
              <c:f>'calculation sheet'!$G$1</c:f>
              <c:strCache>
                <c:ptCount val="1"/>
                <c:pt idx="0">
                  <c:v>Staff Required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'calculation sheet'!$A$2:$A$31</c:f>
              <c:numCache>
                <c:formatCode>m/d/yyyy</c:formatCode>
                <c:ptCount val="3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</c:numCache>
            </c:numRef>
          </c:cat>
          <c:val>
            <c:numRef>
              <c:f>'calculation sheet'!$G$2:$G$31</c:f>
              <c:numCache>
                <c:formatCode>General</c:formatCode>
                <c:ptCount val="30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12</c:v>
                </c:pt>
                <c:pt idx="4">
                  <c:v>17</c:v>
                </c:pt>
                <c:pt idx="5">
                  <c:v>19</c:v>
                </c:pt>
                <c:pt idx="6">
                  <c:v>18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18</c:v>
                </c:pt>
                <c:pt idx="17">
                  <c:v>20</c:v>
                </c:pt>
                <c:pt idx="18">
                  <c:v>19</c:v>
                </c:pt>
                <c:pt idx="19">
                  <c:v>17</c:v>
                </c:pt>
                <c:pt idx="20">
                  <c:v>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27-4AA9-AEFC-1E783201B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04384"/>
        <c:axId val="57602640"/>
      </c:lineChart>
      <c:dateAx>
        <c:axId val="5960438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02640"/>
        <c:crosses val="autoZero"/>
        <c:auto val="1"/>
        <c:lblOffset val="100"/>
        <c:baseTimeUnit val="months"/>
      </c:dateAx>
      <c:valAx>
        <c:axId val="576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1</xdr:row>
      <xdr:rowOff>30480</xdr:rowOff>
    </xdr:from>
    <xdr:to>
      <xdr:col>15</xdr:col>
      <xdr:colOff>99060</xdr:colOff>
      <xdr:row>4</xdr:row>
      <xdr:rowOff>121920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475C97-11F7-3A1B-EBD5-10293F6B3CCD}"/>
            </a:ext>
          </a:extLst>
        </xdr:cNvPr>
        <xdr:cNvSpPr/>
      </xdr:nvSpPr>
      <xdr:spPr>
        <a:xfrm>
          <a:off x="4747260" y="213360"/>
          <a:ext cx="4495800" cy="64008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>
              <a:solidFill>
                <a:srgbClr val="FFFF00"/>
              </a:solidFill>
              <a:latin typeface="Arial Black" panose="020B0A04020102020204" pitchFamily="34" charset="0"/>
            </a:rPr>
            <a:t>Planning Dashboard</a:t>
          </a:r>
        </a:p>
      </xdr:txBody>
    </xdr:sp>
    <xdr:clientData/>
  </xdr:twoCellAnchor>
  <xdr:twoCellAnchor>
    <xdr:from>
      <xdr:col>16</xdr:col>
      <xdr:colOff>228600</xdr:colOff>
      <xdr:row>6</xdr:row>
      <xdr:rowOff>91440</xdr:rowOff>
    </xdr:from>
    <xdr:to>
      <xdr:col>21</xdr:col>
      <xdr:colOff>525780</xdr:colOff>
      <xdr:row>22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CF80E5-E9F6-4E5F-ABF2-4B04E14AA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327660</xdr:colOff>
      <xdr:row>6</xdr:row>
      <xdr:rowOff>91440</xdr:rowOff>
    </xdr:from>
    <xdr:to>
      <xdr:col>16</xdr:col>
      <xdr:colOff>99060</xdr:colOff>
      <xdr:row>22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5118C1-ECF2-42D3-B266-7BB3ECEA3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342900</xdr:colOff>
      <xdr:row>9</xdr:row>
      <xdr:rowOff>137160</xdr:rowOff>
    </xdr:from>
    <xdr:to>
      <xdr:col>8</xdr:col>
      <xdr:colOff>236220</xdr:colOff>
      <xdr:row>12</xdr:row>
      <xdr:rowOff>7620</xdr:rowOff>
    </xdr:to>
    <xdr:sp macro="" textlink="'calculation sheet'!K1">
      <xdr:nvSpPr>
        <xdr:cNvPr id="5" name="Rectangle: Rounded Corners 4">
          <a:extLst>
            <a:ext uri="{FF2B5EF4-FFF2-40B4-BE49-F238E27FC236}">
              <a16:creationId xmlns:a16="http://schemas.microsoft.com/office/drawing/2014/main" id="{2F94D5B6-B3FD-CC7F-F153-61E692F4BAB0}"/>
            </a:ext>
          </a:extLst>
        </xdr:cNvPr>
        <xdr:cNvSpPr/>
      </xdr:nvSpPr>
      <xdr:spPr>
        <a:xfrm>
          <a:off x="4000500" y="1783080"/>
          <a:ext cx="1112520" cy="41910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3CDA5A1-4B6A-4BB6-8CA8-421F673430F9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</a:rPr>
            <a:pPr algn="ctr"/>
            <a:t>2567.5</a:t>
          </a:fld>
          <a:endParaRPr lang="en-US" sz="16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297180</xdr:colOff>
      <xdr:row>9</xdr:row>
      <xdr:rowOff>121920</xdr:rowOff>
    </xdr:from>
    <xdr:to>
      <xdr:col>6</xdr:col>
      <xdr:colOff>297180</xdr:colOff>
      <xdr:row>12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08234F0-0A33-81DB-5F49-8E0076E36023}"/>
            </a:ext>
          </a:extLst>
        </xdr:cNvPr>
        <xdr:cNvSpPr/>
      </xdr:nvSpPr>
      <xdr:spPr>
        <a:xfrm>
          <a:off x="906780" y="1767840"/>
          <a:ext cx="3048000" cy="42672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t>Total Forecasted Sales</a:t>
          </a:r>
        </a:p>
      </xdr:txBody>
    </xdr:sp>
    <xdr:clientData/>
  </xdr:twoCellAnchor>
  <xdr:twoCellAnchor>
    <xdr:from>
      <xdr:col>6</xdr:col>
      <xdr:colOff>312420</xdr:colOff>
      <xdr:row>12</xdr:row>
      <xdr:rowOff>121920</xdr:rowOff>
    </xdr:from>
    <xdr:to>
      <xdr:col>8</xdr:col>
      <xdr:colOff>205740</xdr:colOff>
      <xdr:row>14</xdr:row>
      <xdr:rowOff>175260</xdr:rowOff>
    </xdr:to>
    <xdr:sp macro="" textlink="'calculation sheet'!$K2">
      <xdr:nvSpPr>
        <xdr:cNvPr id="7" name="Rectangle: Rounded Corners 6">
          <a:extLst>
            <a:ext uri="{FF2B5EF4-FFF2-40B4-BE49-F238E27FC236}">
              <a16:creationId xmlns:a16="http://schemas.microsoft.com/office/drawing/2014/main" id="{203CDD13-B159-48AA-943B-286CCEC6046F}"/>
            </a:ext>
          </a:extLst>
        </xdr:cNvPr>
        <xdr:cNvSpPr/>
      </xdr:nvSpPr>
      <xdr:spPr>
        <a:xfrm>
          <a:off x="3970020" y="2316480"/>
          <a:ext cx="1112520" cy="41910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D18A93B5-B4F0-48F3-9AE7-FB85CC7B2F9C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20</a:t>
          </a:fld>
          <a:endParaRPr lang="en-US" sz="1600" b="0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274320</xdr:colOff>
      <xdr:row>12</xdr:row>
      <xdr:rowOff>106680</xdr:rowOff>
    </xdr:from>
    <xdr:to>
      <xdr:col>6</xdr:col>
      <xdr:colOff>266700</xdr:colOff>
      <xdr:row>14</xdr:row>
      <xdr:rowOff>167640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11E1E31-1CE1-4474-AC60-F910B11773C6}"/>
            </a:ext>
          </a:extLst>
        </xdr:cNvPr>
        <xdr:cNvSpPr/>
      </xdr:nvSpPr>
      <xdr:spPr>
        <a:xfrm>
          <a:off x="883920" y="2301240"/>
          <a:ext cx="3040380" cy="42672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t>Peak</a:t>
          </a:r>
          <a:r>
            <a:rPr lang="en-US" sz="1600" b="0" i="0" u="none" strike="noStrike" baseline="0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t> Staffing Need</a:t>
          </a:r>
          <a:endParaRPr lang="en-US" sz="1600" b="0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327660</xdr:colOff>
      <xdr:row>15</xdr:row>
      <xdr:rowOff>99060</xdr:rowOff>
    </xdr:from>
    <xdr:to>
      <xdr:col>8</xdr:col>
      <xdr:colOff>220980</xdr:colOff>
      <xdr:row>17</xdr:row>
      <xdr:rowOff>152400</xdr:rowOff>
    </xdr:to>
    <xdr:sp macro="" textlink="'calculation sheet'!$K3">
      <xdr:nvSpPr>
        <xdr:cNvPr id="9" name="Rectangle: Rounded Corners 8">
          <a:extLst>
            <a:ext uri="{FF2B5EF4-FFF2-40B4-BE49-F238E27FC236}">
              <a16:creationId xmlns:a16="http://schemas.microsoft.com/office/drawing/2014/main" id="{EBF2BD3C-8B81-4FB7-8BB1-8F7C0593E14A}"/>
            </a:ext>
          </a:extLst>
        </xdr:cNvPr>
        <xdr:cNvSpPr/>
      </xdr:nvSpPr>
      <xdr:spPr>
        <a:xfrm>
          <a:off x="3985260" y="2842260"/>
          <a:ext cx="1112520" cy="41910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BB37C676-A995-40E6-A1C5-0AFF88989653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14802.94594</a:t>
          </a:fld>
          <a:endParaRPr lang="en-US" sz="1600" b="0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259080</xdr:colOff>
      <xdr:row>15</xdr:row>
      <xdr:rowOff>83820</xdr:rowOff>
    </xdr:from>
    <xdr:to>
      <xdr:col>6</xdr:col>
      <xdr:colOff>281940</xdr:colOff>
      <xdr:row>17</xdr:row>
      <xdr:rowOff>144780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921E7E5-305D-4AC7-9349-DE9699EA6ADD}"/>
            </a:ext>
          </a:extLst>
        </xdr:cNvPr>
        <xdr:cNvSpPr/>
      </xdr:nvSpPr>
      <xdr:spPr>
        <a:xfrm>
          <a:off x="868680" y="2827020"/>
          <a:ext cx="3070860" cy="42672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t>Total</a:t>
          </a:r>
          <a:r>
            <a:rPr lang="en-US" sz="1600" b="0" i="0" u="none" strike="noStrike" baseline="0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t> Raw Material Order</a:t>
          </a:r>
          <a:endParaRPr lang="en-US" sz="1600" b="0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D8D9F0-4F56-4133-85D8-C6EC469C0316}" name="Table2" displayName="Table2" ref="A1:G31" totalsRowShown="0">
  <autoFilter ref="A1:G31" xr:uid="{91D8D9F0-4F56-4133-85D8-C6EC469C0316}"/>
  <tableColumns count="7">
    <tableColumn id="1" xr3:uid="{D3A9C6C9-3FD3-43B3-A036-4EE1C5B51851}" name="Date" dataDxfId="4"/>
    <tableColumn id="2" xr3:uid="{81041DE1-B3C5-41D6-8D72-594C60FFEDBF}" name="Sales Units (Historical)"/>
    <tableColumn id="3" xr3:uid="{F4AB8FAB-ADB3-4B3C-A020-6DF0D9336924}" name="Forecast(Sales Units (Historical))">
      <calculatedColumnFormula>_xlfn.FORECAST.ETS(A2,$B$2:$B$22,$A$2:$A$22,1,1)</calculatedColumnFormula>
    </tableColumn>
    <tableColumn id="4" xr3:uid="{555971FF-8CE5-49B5-8E96-08E2B5E34BF3}" name="Lower Confidence Bound(Sales Units (Historical))" dataDxfId="3">
      <calculatedColumnFormula>C2-_xlfn.FORECAST.ETS.CONFINT(A2,$B$2:$B$22,$A$2:$A$22,0.95,1,1)</calculatedColumnFormula>
    </tableColumn>
    <tableColumn id="5" xr3:uid="{DD4DCE07-8299-4845-BCE8-2F6D452E3F2C}" name="Upper Confidence Bound(Sales Units (Historical))" dataDxfId="2">
      <calculatedColumnFormula>C2+_xlfn.FORECAST.ETS.CONFINT(A2,$B$2:$B$22,$A$2:$A$22,0.95,1,1)</calculatedColumnFormula>
    </tableColumn>
    <tableColumn id="6" xr3:uid="{99ECA5A1-294C-4858-ACA1-2B6189481593}" name="Raw Material Needed (kg)" dataDxfId="1">
      <calculatedColumnFormula>D2 * $I$1</calculatedColumnFormula>
    </tableColumn>
    <tableColumn id="7" xr3:uid="{FCF2ECEB-75EF-49E2-ACDE-41F02B6AF015}" name="Staff Required" dataDxfId="0">
      <calculatedColumnFormula>ROUNDUP(B2 / $I$2,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775D-A157-403E-9F39-FF6DD1B16D8E}">
  <dimension ref="A1:B25"/>
  <sheetViews>
    <sheetView workbookViewId="0">
      <selection sqref="A1:B1048576"/>
    </sheetView>
    <sheetView workbookViewId="1"/>
  </sheetViews>
  <sheetFormatPr defaultRowHeight="14.4" x14ac:dyDescent="0.3"/>
  <sheetData>
    <row r="1" spans="1:2" ht="55.8" thickBot="1" x14ac:dyDescent="0.35">
      <c r="A1" s="1" t="s">
        <v>0</v>
      </c>
      <c r="B1" s="1" t="s">
        <v>1</v>
      </c>
    </row>
    <row r="2" spans="1:2" ht="15" thickBot="1" x14ac:dyDescent="0.35">
      <c r="A2" s="3">
        <v>44562</v>
      </c>
      <c r="B2" s="4">
        <v>480</v>
      </c>
    </row>
    <row r="3" spans="1:2" ht="15" thickBot="1" x14ac:dyDescent="0.35">
      <c r="A3" s="3">
        <v>44593</v>
      </c>
      <c r="B3" s="4">
        <v>510</v>
      </c>
    </row>
    <row r="4" spans="1:2" ht="15" thickBot="1" x14ac:dyDescent="0.35">
      <c r="A4" s="3">
        <v>44621</v>
      </c>
      <c r="B4" s="4">
        <v>530</v>
      </c>
    </row>
    <row r="5" spans="1:2" ht="15" thickBot="1" x14ac:dyDescent="0.35">
      <c r="A5" s="3">
        <v>44652</v>
      </c>
      <c r="B5" s="4">
        <v>600</v>
      </c>
    </row>
    <row r="6" spans="1:2" ht="15" thickBot="1" x14ac:dyDescent="0.35">
      <c r="A6" s="3">
        <v>44682</v>
      </c>
      <c r="B6" s="4">
        <v>850</v>
      </c>
    </row>
    <row r="7" spans="1:2" ht="15" thickBot="1" x14ac:dyDescent="0.35">
      <c r="A7" s="3">
        <v>44713</v>
      </c>
      <c r="B7" s="4">
        <v>920</v>
      </c>
    </row>
    <row r="8" spans="1:2" ht="15" thickBot="1" x14ac:dyDescent="0.35">
      <c r="A8" s="3">
        <v>44743</v>
      </c>
      <c r="B8" s="4">
        <v>890</v>
      </c>
    </row>
    <row r="9" spans="1:2" ht="15" thickBot="1" x14ac:dyDescent="0.35">
      <c r="A9" s="3">
        <v>44774</v>
      </c>
      <c r="B9" s="4">
        <v>800</v>
      </c>
    </row>
    <row r="10" spans="1:2" ht="15" thickBot="1" x14ac:dyDescent="0.35">
      <c r="A10" s="3">
        <v>44805</v>
      </c>
      <c r="B10" s="4">
        <v>650</v>
      </c>
    </row>
    <row r="11" spans="1:2" ht="15" thickBot="1" x14ac:dyDescent="0.35">
      <c r="A11" s="3">
        <v>44806</v>
      </c>
      <c r="B11" s="4">
        <v>620</v>
      </c>
    </row>
    <row r="12" spans="1:2" ht="15" thickBot="1" x14ac:dyDescent="0.35">
      <c r="A12" s="3">
        <v>44807</v>
      </c>
      <c r="B12" s="4">
        <v>750</v>
      </c>
    </row>
    <row r="13" spans="1:2" ht="15" thickBot="1" x14ac:dyDescent="0.35">
      <c r="A13" s="3">
        <v>44808</v>
      </c>
      <c r="B13" s="4">
        <v>980</v>
      </c>
    </row>
    <row r="14" spans="1:2" ht="15" thickBot="1" x14ac:dyDescent="0.35">
      <c r="A14" s="3">
        <v>44927</v>
      </c>
      <c r="B14" s="4">
        <v>520</v>
      </c>
    </row>
    <row r="15" spans="1:2" ht="15" thickBot="1" x14ac:dyDescent="0.35">
      <c r="A15" s="3">
        <v>44958</v>
      </c>
      <c r="B15" s="4">
        <v>550</v>
      </c>
    </row>
    <row r="16" spans="1:2" ht="15" thickBot="1" x14ac:dyDescent="0.35">
      <c r="A16" s="3">
        <v>44986</v>
      </c>
      <c r="B16" s="4">
        <v>580</v>
      </c>
    </row>
    <row r="17" spans="1:2" ht="15" thickBot="1" x14ac:dyDescent="0.35">
      <c r="A17" s="3">
        <v>45017</v>
      </c>
      <c r="B17" s="4">
        <v>640</v>
      </c>
    </row>
    <row r="18" spans="1:2" ht="15" thickBot="1" x14ac:dyDescent="0.35">
      <c r="A18" s="3">
        <v>45047</v>
      </c>
      <c r="B18" s="4">
        <v>900</v>
      </c>
    </row>
    <row r="19" spans="1:2" ht="15" thickBot="1" x14ac:dyDescent="0.35">
      <c r="A19" s="3">
        <v>45078</v>
      </c>
      <c r="B19" s="4">
        <v>960</v>
      </c>
    </row>
    <row r="20" spans="1:2" ht="15" thickBot="1" x14ac:dyDescent="0.35">
      <c r="A20" s="3">
        <v>45108</v>
      </c>
      <c r="B20" s="4">
        <v>930</v>
      </c>
    </row>
    <row r="21" spans="1:2" ht="15" thickBot="1" x14ac:dyDescent="0.35">
      <c r="A21" s="3">
        <v>45139</v>
      </c>
      <c r="B21" s="4">
        <v>840</v>
      </c>
    </row>
    <row r="22" spans="1:2" ht="15" thickBot="1" x14ac:dyDescent="0.35">
      <c r="A22" s="3">
        <v>45170</v>
      </c>
      <c r="B22" s="4">
        <v>690</v>
      </c>
    </row>
    <row r="23" spans="1:2" ht="15" thickBot="1" x14ac:dyDescent="0.35">
      <c r="A23" s="3">
        <v>45171</v>
      </c>
      <c r="B23" s="4">
        <v>660</v>
      </c>
    </row>
    <row r="24" spans="1:2" ht="15" thickBot="1" x14ac:dyDescent="0.35">
      <c r="A24" s="3">
        <v>45172</v>
      </c>
      <c r="B24" s="4">
        <v>790</v>
      </c>
    </row>
    <row r="25" spans="1:2" ht="15" thickBot="1" x14ac:dyDescent="0.35">
      <c r="A25" s="3">
        <v>45173</v>
      </c>
      <c r="B25" s="4">
        <v>1050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11F7-EBEC-4848-A997-E3984A6F2559}">
  <dimension ref="A1:K31"/>
  <sheetViews>
    <sheetView workbookViewId="0">
      <selection activeCell="E1" activeCellId="2" sqref="A1:A1048576 D1:D1048576 E1:E1048576"/>
    </sheetView>
    <sheetView topLeftCell="D1" workbookViewId="1">
      <selection activeCell="K4" sqref="K4"/>
    </sheetView>
  </sheetViews>
  <sheetFormatPr defaultRowHeight="14.4" x14ac:dyDescent="0.3"/>
  <cols>
    <col min="1" max="1" width="9.33203125" bestFit="1" customWidth="1"/>
    <col min="2" max="2" width="22" customWidth="1"/>
    <col min="3" max="3" width="30.5546875" customWidth="1"/>
    <col min="4" max="4" width="43.5546875" customWidth="1"/>
    <col min="5" max="5" width="43.77734375" customWidth="1"/>
    <col min="6" max="6" width="8.88671875" customWidth="1"/>
    <col min="8" max="8" width="30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5</v>
      </c>
      <c r="I1">
        <v>2.5</v>
      </c>
      <c r="K1">
        <f>SUM(B20:B50)</f>
        <v>2567.5</v>
      </c>
    </row>
    <row r="2" spans="1:11" x14ac:dyDescent="0.3">
      <c r="A2" s="2">
        <v>44562</v>
      </c>
      <c r="B2">
        <v>480</v>
      </c>
      <c r="F2">
        <f t="shared" ref="F2:F31" si="0">D2 * $I$1</f>
        <v>0</v>
      </c>
      <c r="G2">
        <f t="shared" ref="G2:G31" si="1">ROUNDUP(B2 / $I$2, 0)</f>
        <v>10</v>
      </c>
      <c r="H2" t="s">
        <v>6</v>
      </c>
      <c r="I2">
        <v>50</v>
      </c>
      <c r="K2">
        <f>MAX(G:G)</f>
        <v>20</v>
      </c>
    </row>
    <row r="3" spans="1:11" x14ac:dyDescent="0.3">
      <c r="A3" s="2">
        <v>44593</v>
      </c>
      <c r="B3">
        <v>510</v>
      </c>
      <c r="F3">
        <f t="shared" si="0"/>
        <v>0</v>
      </c>
      <c r="G3">
        <f t="shared" si="1"/>
        <v>11</v>
      </c>
      <c r="K3">
        <f>SUM(F:F)</f>
        <v>14802.945938118864</v>
      </c>
    </row>
    <row r="4" spans="1:11" x14ac:dyDescent="0.3">
      <c r="A4" s="2">
        <v>44621</v>
      </c>
      <c r="B4">
        <v>530</v>
      </c>
      <c r="F4">
        <f t="shared" si="0"/>
        <v>0</v>
      </c>
      <c r="G4">
        <f t="shared" si="1"/>
        <v>11</v>
      </c>
    </row>
    <row r="5" spans="1:11" x14ac:dyDescent="0.3">
      <c r="A5" s="2">
        <v>44652</v>
      </c>
      <c r="B5">
        <v>600</v>
      </c>
      <c r="F5">
        <f t="shared" si="0"/>
        <v>0</v>
      </c>
      <c r="G5">
        <f t="shared" si="1"/>
        <v>12</v>
      </c>
    </row>
    <row r="6" spans="1:11" x14ac:dyDescent="0.3">
      <c r="A6" s="2">
        <v>44682</v>
      </c>
      <c r="B6">
        <v>850</v>
      </c>
      <c r="F6">
        <f t="shared" si="0"/>
        <v>0</v>
      </c>
      <c r="G6">
        <f t="shared" si="1"/>
        <v>17</v>
      </c>
    </row>
    <row r="7" spans="1:11" x14ac:dyDescent="0.3">
      <c r="A7" s="2">
        <v>44713</v>
      </c>
      <c r="B7">
        <v>920</v>
      </c>
      <c r="F7">
        <f t="shared" si="0"/>
        <v>0</v>
      </c>
      <c r="G7">
        <f t="shared" si="1"/>
        <v>19</v>
      </c>
    </row>
    <row r="8" spans="1:11" x14ac:dyDescent="0.3">
      <c r="A8" s="2">
        <v>44743</v>
      </c>
      <c r="B8">
        <v>890</v>
      </c>
      <c r="F8">
        <f t="shared" si="0"/>
        <v>0</v>
      </c>
      <c r="G8">
        <f t="shared" si="1"/>
        <v>18</v>
      </c>
    </row>
    <row r="9" spans="1:11" x14ac:dyDescent="0.3">
      <c r="A9" s="2">
        <v>44774</v>
      </c>
      <c r="B9">
        <v>800</v>
      </c>
      <c r="F9">
        <f t="shared" si="0"/>
        <v>0</v>
      </c>
      <c r="G9">
        <f t="shared" si="1"/>
        <v>16</v>
      </c>
    </row>
    <row r="10" spans="1:11" x14ac:dyDescent="0.3">
      <c r="A10" s="2">
        <v>44805</v>
      </c>
      <c r="B10">
        <v>750</v>
      </c>
      <c r="F10">
        <f t="shared" si="0"/>
        <v>0</v>
      </c>
      <c r="G10">
        <f t="shared" si="1"/>
        <v>15</v>
      </c>
    </row>
    <row r="11" spans="1:11" x14ac:dyDescent="0.3">
      <c r="A11" s="2">
        <v>44835</v>
      </c>
      <c r="B11">
        <v>692.5</v>
      </c>
      <c r="F11">
        <f t="shared" si="0"/>
        <v>0</v>
      </c>
      <c r="G11">
        <f t="shared" si="1"/>
        <v>14</v>
      </c>
    </row>
    <row r="12" spans="1:11" x14ac:dyDescent="0.3">
      <c r="A12" s="2">
        <v>44866</v>
      </c>
      <c r="B12">
        <v>635</v>
      </c>
      <c r="F12">
        <f t="shared" si="0"/>
        <v>0</v>
      </c>
      <c r="G12">
        <f t="shared" si="1"/>
        <v>13</v>
      </c>
    </row>
    <row r="13" spans="1:11" x14ac:dyDescent="0.3">
      <c r="A13" s="2">
        <v>44896</v>
      </c>
      <c r="B13">
        <v>577.5</v>
      </c>
      <c r="F13">
        <f t="shared" si="0"/>
        <v>0</v>
      </c>
      <c r="G13">
        <f t="shared" si="1"/>
        <v>12</v>
      </c>
    </row>
    <row r="14" spans="1:11" x14ac:dyDescent="0.3">
      <c r="A14" s="2">
        <v>44927</v>
      </c>
      <c r="B14">
        <v>520</v>
      </c>
      <c r="F14">
        <f t="shared" si="0"/>
        <v>0</v>
      </c>
      <c r="G14">
        <f t="shared" si="1"/>
        <v>11</v>
      </c>
    </row>
    <row r="15" spans="1:11" x14ac:dyDescent="0.3">
      <c r="A15" s="2">
        <v>44958</v>
      </c>
      <c r="B15">
        <v>550</v>
      </c>
      <c r="F15">
        <f t="shared" si="0"/>
        <v>0</v>
      </c>
      <c r="G15">
        <f t="shared" si="1"/>
        <v>11</v>
      </c>
    </row>
    <row r="16" spans="1:11" x14ac:dyDescent="0.3">
      <c r="A16" s="2">
        <v>44986</v>
      </c>
      <c r="B16">
        <v>580</v>
      </c>
      <c r="F16">
        <f t="shared" si="0"/>
        <v>0</v>
      </c>
      <c r="G16">
        <f t="shared" si="1"/>
        <v>12</v>
      </c>
    </row>
    <row r="17" spans="1:7" x14ac:dyDescent="0.3">
      <c r="A17" s="2">
        <v>45017</v>
      </c>
      <c r="B17">
        <v>640</v>
      </c>
      <c r="F17">
        <f t="shared" si="0"/>
        <v>0</v>
      </c>
      <c r="G17">
        <f t="shared" si="1"/>
        <v>13</v>
      </c>
    </row>
    <row r="18" spans="1:7" x14ac:dyDescent="0.3">
      <c r="A18" s="2">
        <v>45047</v>
      </c>
      <c r="B18">
        <v>900</v>
      </c>
      <c r="F18">
        <f t="shared" si="0"/>
        <v>0</v>
      </c>
      <c r="G18">
        <f t="shared" si="1"/>
        <v>18</v>
      </c>
    </row>
    <row r="19" spans="1:7" x14ac:dyDescent="0.3">
      <c r="A19" s="2">
        <v>45078</v>
      </c>
      <c r="B19">
        <v>960</v>
      </c>
      <c r="F19">
        <f t="shared" si="0"/>
        <v>0</v>
      </c>
      <c r="G19">
        <f t="shared" si="1"/>
        <v>20</v>
      </c>
    </row>
    <row r="20" spans="1:7" x14ac:dyDescent="0.3">
      <c r="A20" s="2">
        <v>45108</v>
      </c>
      <c r="B20">
        <v>930</v>
      </c>
      <c r="F20">
        <f t="shared" si="0"/>
        <v>0</v>
      </c>
      <c r="G20">
        <f t="shared" si="1"/>
        <v>19</v>
      </c>
    </row>
    <row r="21" spans="1:7" x14ac:dyDescent="0.3">
      <c r="A21" s="2">
        <v>45139</v>
      </c>
      <c r="B21">
        <v>840</v>
      </c>
      <c r="F21">
        <f t="shared" si="0"/>
        <v>0</v>
      </c>
      <c r="G21">
        <f t="shared" si="1"/>
        <v>17</v>
      </c>
    </row>
    <row r="22" spans="1:7" x14ac:dyDescent="0.3">
      <c r="A22" s="2">
        <v>45170</v>
      </c>
      <c r="B22">
        <v>797.5</v>
      </c>
      <c r="C22">
        <v>797.5</v>
      </c>
      <c r="D22" s="5">
        <v>797.5</v>
      </c>
      <c r="E22" s="5">
        <v>797.5</v>
      </c>
      <c r="F22">
        <f t="shared" si="0"/>
        <v>1993.75</v>
      </c>
      <c r="G22">
        <f t="shared" si="1"/>
        <v>16</v>
      </c>
    </row>
    <row r="23" spans="1:7" x14ac:dyDescent="0.3">
      <c r="A23" s="2">
        <v>45200</v>
      </c>
      <c r="C23">
        <f>_xlfn.FORECAST.ETS(A23,$B$2:$B$22,$A$2:$A$22,1,1)</f>
        <v>850.47793581418932</v>
      </c>
      <c r="D23" s="5">
        <f>C23-_xlfn.FORECAST.ETS.CONFINT(A23,$B$2:$B$22,$A$2:$A$22,0.95,1,1)</f>
        <v>559.03421068801299</v>
      </c>
      <c r="E23" s="5">
        <f>C23+_xlfn.FORECAST.ETS.CONFINT(A23,$B$2:$B$22,$A$2:$A$22,0.95,1,1)</f>
        <v>1141.9216609403657</v>
      </c>
      <c r="F23">
        <f t="shared" si="0"/>
        <v>1397.5855267200325</v>
      </c>
      <c r="G23">
        <f t="shared" si="1"/>
        <v>0</v>
      </c>
    </row>
    <row r="24" spans="1:7" x14ac:dyDescent="0.3">
      <c r="A24" s="2">
        <v>45231</v>
      </c>
      <c r="C24">
        <f>_xlfn.FORECAST.ETS(A24,$B$2:$B$22,$A$2:$A$22,1,1)</f>
        <v>861.68038531094896</v>
      </c>
      <c r="D24" s="5">
        <f>C24-_xlfn.FORECAST.ETS.CONFINT(A24,$B$2:$B$22,$A$2:$A$22,0.95,1,1)</f>
        <v>561.19625114653286</v>
      </c>
      <c r="E24" s="5">
        <f>C24+_xlfn.FORECAST.ETS.CONFINT(A24,$B$2:$B$22,$A$2:$A$22,0.95,1,1)</f>
        <v>1162.1645194753651</v>
      </c>
      <c r="F24">
        <f t="shared" si="0"/>
        <v>1402.990627866332</v>
      </c>
      <c r="G24">
        <f t="shared" si="1"/>
        <v>0</v>
      </c>
    </row>
    <row r="25" spans="1:7" x14ac:dyDescent="0.3">
      <c r="A25" s="2">
        <v>45261</v>
      </c>
      <c r="C25">
        <f>_xlfn.FORECAST.ETS(A25,$B$2:$B$22,$A$2:$A$22,1,1)</f>
        <v>872.8828348077086</v>
      </c>
      <c r="D25" s="5">
        <f>C25-_xlfn.FORECAST.ETS.CONFINT(A25,$B$2:$B$22,$A$2:$A$22,0.95,1,1)</f>
        <v>563.55338358385927</v>
      </c>
      <c r="E25" s="5">
        <f>C25+_xlfn.FORECAST.ETS.CONFINT(A25,$B$2:$B$22,$A$2:$A$22,0.95,1,1)</f>
        <v>1182.2122860315581</v>
      </c>
      <c r="F25">
        <f t="shared" si="0"/>
        <v>1408.8834589596481</v>
      </c>
      <c r="G25">
        <f t="shared" si="1"/>
        <v>0</v>
      </c>
    </row>
    <row r="26" spans="1:7" x14ac:dyDescent="0.3">
      <c r="A26" s="2">
        <v>45292</v>
      </c>
      <c r="C26">
        <f>_xlfn.FORECAST.ETS(A26,$B$2:$B$22,$A$2:$A$22,1,1)</f>
        <v>884.08528430446825</v>
      </c>
      <c r="D26" s="5">
        <f>C26-_xlfn.FORECAST.ETS.CONFINT(A26,$B$2:$B$22,$A$2:$A$22,0.95,1,1)</f>
        <v>566.08906054695399</v>
      </c>
      <c r="E26" s="5">
        <f>C26+_xlfn.FORECAST.ETS.CONFINT(A26,$B$2:$B$22,$A$2:$A$22,0.95,1,1)</f>
        <v>1202.0815080619825</v>
      </c>
      <c r="F26">
        <f t="shared" si="0"/>
        <v>1415.222651367385</v>
      </c>
      <c r="G26">
        <f t="shared" si="1"/>
        <v>0</v>
      </c>
    </row>
    <row r="27" spans="1:7" x14ac:dyDescent="0.3">
      <c r="A27" s="2">
        <v>45323</v>
      </c>
      <c r="C27">
        <f>_xlfn.FORECAST.ETS(A27,$B$2:$B$22,$A$2:$A$22,1,1)</f>
        <v>895.28773380122777</v>
      </c>
      <c r="D27" s="5">
        <f>C27-_xlfn.FORECAST.ETS.CONFINT(A27,$B$2:$B$22,$A$2:$A$22,0.95,1,1)</f>
        <v>568.78880340144474</v>
      </c>
      <c r="E27" s="5">
        <f>C27+_xlfn.FORECAST.ETS.CONFINT(A27,$B$2:$B$22,$A$2:$A$22,0.95,1,1)</f>
        <v>1221.7866642010108</v>
      </c>
      <c r="F27">
        <f t="shared" si="0"/>
        <v>1421.972008503612</v>
      </c>
      <c r="G27">
        <f t="shared" si="1"/>
        <v>0</v>
      </c>
    </row>
    <row r="28" spans="1:7" x14ac:dyDescent="0.3">
      <c r="A28" s="2">
        <v>45352</v>
      </c>
      <c r="C28">
        <f>_xlfn.FORECAST.ETS(A28,$B$2:$B$22,$A$2:$A$22,1,1)</f>
        <v>906.49018329798741</v>
      </c>
      <c r="D28" s="5">
        <f>C28-_xlfn.FORECAST.ETS.CONFINT(A28,$B$2:$B$22,$A$2:$A$22,0.95,1,1)</f>
        <v>571.63986008203506</v>
      </c>
      <c r="E28" s="5">
        <f>C28+_xlfn.FORECAST.ETS.CONFINT(A28,$B$2:$B$22,$A$2:$A$22,0.95,1,1)</f>
        <v>1241.3405065139398</v>
      </c>
      <c r="F28">
        <f t="shared" si="0"/>
        <v>1429.0996502050875</v>
      </c>
      <c r="G28">
        <f t="shared" si="1"/>
        <v>0</v>
      </c>
    </row>
    <row r="29" spans="1:7" x14ac:dyDescent="0.3">
      <c r="A29" s="2">
        <v>45383</v>
      </c>
      <c r="C29">
        <f>_xlfn.FORECAST.ETS(A29,$B$2:$B$22,$A$2:$A$22,1,1)</f>
        <v>917.69263279474706</v>
      </c>
      <c r="D29" s="5">
        <f>C29-_xlfn.FORECAST.ETS.CONFINT(A29,$B$2:$B$22,$A$2:$A$22,0.95,1,1)</f>
        <v>574.63093219293864</v>
      </c>
      <c r="E29" s="5">
        <f>C29+_xlfn.FORECAST.ETS.CONFINT(A29,$B$2:$B$22,$A$2:$A$22,0.95,1,1)</f>
        <v>1260.7543333965555</v>
      </c>
      <c r="F29">
        <f t="shared" si="0"/>
        <v>1436.5773304823465</v>
      </c>
      <c r="G29">
        <f t="shared" si="1"/>
        <v>0</v>
      </c>
    </row>
    <row r="30" spans="1:7" x14ac:dyDescent="0.3">
      <c r="A30" s="2">
        <v>45413</v>
      </c>
      <c r="C30">
        <f>_xlfn.FORECAST.ETS(A30,$B$2:$B$22,$A$2:$A$22,1,1)</f>
        <v>928.8950822915067</v>
      </c>
      <c r="D30" s="5">
        <f>C30-_xlfn.FORECAST.ETS.CONFINT(A30,$B$2:$B$22,$A$2:$A$22,0.95,1,1)</f>
        <v>577.75195503849659</v>
      </c>
      <c r="E30" s="5">
        <f>C30+_xlfn.FORECAST.ETS.CONFINT(A30,$B$2:$B$22,$A$2:$A$22,0.95,1,1)</f>
        <v>1280.0382095445168</v>
      </c>
      <c r="F30">
        <f t="shared" si="0"/>
        <v>1444.3798875962416</v>
      </c>
      <c r="G30">
        <f t="shared" si="1"/>
        <v>0</v>
      </c>
    </row>
    <row r="31" spans="1:7" x14ac:dyDescent="0.3">
      <c r="A31" s="2">
        <v>45444</v>
      </c>
      <c r="C31">
        <f>_xlfn.FORECAST.ETS(A31,$B$2:$B$22,$A$2:$A$22,1,1)</f>
        <v>940.09753178826634</v>
      </c>
      <c r="D31" s="5">
        <f>C31-_xlfn.FORECAST.ETS.CONFINT(A31,$B$2:$B$22,$A$2:$A$22,0.95,1,1)</f>
        <v>580.99391856727163</v>
      </c>
      <c r="E31" s="5">
        <f>C31+_xlfn.FORECAST.ETS.CONFINT(A31,$B$2:$B$22,$A$2:$A$22,0.95,1,1)</f>
        <v>1299.2011450092609</v>
      </c>
      <c r="F31">
        <f t="shared" si="0"/>
        <v>1452.484796418179</v>
      </c>
      <c r="G31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52FD-C7C6-40C5-96C8-4CB7DCBD3216}">
  <dimension ref="B8"/>
  <sheetViews>
    <sheetView showGridLines="0" tabSelected="1" workbookViewId="0">
      <selection activeCell="N8" sqref="N8"/>
    </sheetView>
    <sheetView showGridLines="0" tabSelected="1" workbookViewId="1">
      <selection activeCell="R36" sqref="R36"/>
    </sheetView>
  </sheetViews>
  <sheetFormatPr defaultRowHeight="14.4" x14ac:dyDescent="0.3"/>
  <sheetData>
    <row r="8" spans="2:2" x14ac:dyDescent="0.3">
      <c r="B8">
        <f>SUM(F11)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calculation sheet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 Khan</dc:creator>
  <cp:lastModifiedBy>Sifat Khan</cp:lastModifiedBy>
  <dcterms:created xsi:type="dcterms:W3CDTF">2026-01-19T06:36:30Z</dcterms:created>
  <dcterms:modified xsi:type="dcterms:W3CDTF">2026-01-19T07:23:49Z</dcterms:modified>
</cp:coreProperties>
</file>